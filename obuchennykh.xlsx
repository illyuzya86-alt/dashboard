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ostolomovaII\Desktop\Семинар по инфографике\"/>
    </mc:Choice>
  </mc:AlternateContent>
  <xr:revisionPtr revIDLastSave="0" documentId="13_ncr:1_{127EB396-ADD1-4CBA-9161-C2FC2A6D3A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1" l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20" i="1" l="1"/>
</calcChain>
</file>

<file path=xl/sharedStrings.xml><?xml version="1.0" encoding="utf-8"?>
<sst xmlns="http://schemas.openxmlformats.org/spreadsheetml/2006/main" count="45" uniqueCount="45">
  <si>
    <t xml:space="preserve">Наименование программы,
курса обучения                               (количество часов)
</t>
  </si>
  <si>
    <t>Когалым</t>
  </si>
  <si>
    <t>Лангепас</t>
  </si>
  <si>
    <t>Мегион</t>
  </si>
  <si>
    <t>Нефтеюганск</t>
  </si>
  <si>
    <t>Нижневартовск</t>
  </si>
  <si>
    <t>Нягань</t>
  </si>
  <si>
    <t>Покачи</t>
  </si>
  <si>
    <t>Пыть-Ях</t>
  </si>
  <si>
    <t>Радужный</t>
  </si>
  <si>
    <t>Сургут</t>
  </si>
  <si>
    <t>Урай</t>
  </si>
  <si>
    <t>Участники и ветераны СВО</t>
  </si>
  <si>
    <t>Гос. Служащие Ханты-Мансийск</t>
  </si>
  <si>
    <t>Ханты-Мансийск</t>
  </si>
  <si>
    <t>Югорск</t>
  </si>
  <si>
    <t>Белоярский район</t>
  </si>
  <si>
    <t>Березовский район</t>
  </si>
  <si>
    <t>Кондинский район</t>
  </si>
  <si>
    <t>Нефтеюганский район</t>
  </si>
  <si>
    <t>Нижневартовский район</t>
  </si>
  <si>
    <t>Октябрьский район</t>
  </si>
  <si>
    <t>Советский район</t>
  </si>
  <si>
    <t>Сургутский район</t>
  </si>
  <si>
    <t>Ханты-Мансийский район</t>
  </si>
  <si>
    <t>ИТОГО</t>
  </si>
  <si>
    <t xml:space="preserve">Планшет для начинающих                           (16 часов) </t>
  </si>
  <si>
    <t>Мобильные приложения                            (16 часов)</t>
  </si>
  <si>
    <t>Основы информационной безопасности (16 часов)</t>
  </si>
  <si>
    <t>Цифровая экономика: просто о сложном (16 часов)</t>
  </si>
  <si>
    <t>Как не попасться на удочку мошенников в период общего волнения (16 часов)</t>
  </si>
  <si>
    <t>Видеокурс по Microsoft Office Word (до 2-х часов)</t>
  </si>
  <si>
    <t>Видеокурс Microsoft Office Excel (до 4-х часов)</t>
  </si>
  <si>
    <t>Видеокурс Microsoft Office Outlook (до 1 часа)</t>
  </si>
  <si>
    <t xml:space="preserve">SPEED UP: курс-тренажер по горячим клавишам  </t>
  </si>
  <si>
    <t>Смартфон для начинающих</t>
  </si>
  <si>
    <t xml:space="preserve">Методика СМАРТ для эффективного достижения целей </t>
  </si>
  <si>
    <t>«Обучение WEB-дизайну»              (72 часа)   перенос в блок для граждан с 1 квартала  2025 г.</t>
  </si>
  <si>
    <t>Дипфейки: испытано на себе. Как защититься, как противодействовать?</t>
  </si>
  <si>
    <t>Основы цифровой грамотности (38 часов)</t>
  </si>
  <si>
    <t>Ресурсы и сервисы цифровой экономики (28 часов)</t>
  </si>
  <si>
    <t xml:space="preserve">Основы безопасной работы в сети Интернет (12 часов) </t>
  </si>
  <si>
    <t>Цифровой куратор центра общественного доступа                     (30 часов)</t>
  </si>
  <si>
    <t>ВСЕГО:</t>
  </si>
  <si>
    <t>Удалённая работа или жизнь в непривычных условиях (16 часов)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</si>
</sst>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2" fillId="2" borderId="1" xfId="0" applyFont="1" applyFill="1" applyBorder="1" applyAlignment="1">
      <alignment horizontal="left" vertical="center" textRotation="90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A10" sqref="A10"/>
    </sheetView>
  </sheetViews>
  <sheetFormatPr defaultRowHeight="15" x14ac:dyDescent="0.25"/>
  <cols>
    <col min="1" max="1" width="22" customWidth="1"/>
  </cols>
  <sheetData>
    <row r="1" spans="1:26" ht="114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 spans="1:26" ht="38.25" x14ac:dyDescent="0.25">
      <c r="A2" s="5" t="s">
        <v>26</v>
      </c>
      <c r="B2" s="6">
        <v>11</v>
      </c>
      <c r="C2" s="6">
        <v>10</v>
      </c>
      <c r="D2" s="6">
        <v>15</v>
      </c>
      <c r="E2" s="6">
        <v>2</v>
      </c>
      <c r="F2" s="6">
        <v>132</v>
      </c>
      <c r="G2" s="7">
        <v>5</v>
      </c>
      <c r="H2" s="7">
        <v>1</v>
      </c>
      <c r="I2" s="7">
        <v>3</v>
      </c>
      <c r="J2" s="7">
        <v>1</v>
      </c>
      <c r="K2" s="7">
        <v>17</v>
      </c>
      <c r="L2" s="7">
        <v>24</v>
      </c>
      <c r="M2" s="7"/>
      <c r="N2" s="7"/>
      <c r="O2" s="7">
        <v>56</v>
      </c>
      <c r="P2" s="7"/>
      <c r="Q2" s="7">
        <v>1</v>
      </c>
      <c r="R2" s="7">
        <v>1</v>
      </c>
      <c r="S2" s="7"/>
      <c r="T2" s="7">
        <v>1</v>
      </c>
      <c r="U2" s="7"/>
      <c r="V2" s="7">
        <v>7</v>
      </c>
      <c r="W2" s="7"/>
      <c r="X2" s="7"/>
      <c r="Y2" s="7">
        <v>8</v>
      </c>
      <c r="Z2" s="8">
        <f>SUM(B2:Y2)</f>
        <v>295</v>
      </c>
    </row>
    <row r="3" spans="1:26" ht="25.5" x14ac:dyDescent="0.25">
      <c r="A3" s="5" t="s">
        <v>27</v>
      </c>
      <c r="B3" s="7">
        <v>38</v>
      </c>
      <c r="C3" s="7">
        <v>31</v>
      </c>
      <c r="D3" s="7">
        <v>66</v>
      </c>
      <c r="E3" s="7">
        <v>10</v>
      </c>
      <c r="F3" s="7">
        <v>887</v>
      </c>
      <c r="G3" s="7">
        <v>39</v>
      </c>
      <c r="H3" s="7">
        <v>20</v>
      </c>
      <c r="I3" s="7">
        <v>10</v>
      </c>
      <c r="J3" s="7"/>
      <c r="K3" s="7">
        <v>423</v>
      </c>
      <c r="L3" s="7">
        <v>22</v>
      </c>
      <c r="M3" s="7"/>
      <c r="N3" s="7"/>
      <c r="O3" s="7">
        <v>232</v>
      </c>
      <c r="P3" s="7"/>
      <c r="Q3" s="7">
        <v>8</v>
      </c>
      <c r="R3" s="7">
        <v>4</v>
      </c>
      <c r="S3" s="7">
        <v>3</v>
      </c>
      <c r="T3" s="7">
        <v>21</v>
      </c>
      <c r="U3" s="7">
        <v>2</v>
      </c>
      <c r="V3" s="7">
        <v>40</v>
      </c>
      <c r="W3" s="7"/>
      <c r="X3" s="7">
        <v>9</v>
      </c>
      <c r="Y3" s="7">
        <v>48</v>
      </c>
      <c r="Z3" s="8">
        <f t="shared" ref="Z3:Z19" si="0">SUM(B3:Y3)</f>
        <v>1913</v>
      </c>
    </row>
    <row r="4" spans="1:26" ht="38.25" x14ac:dyDescent="0.25">
      <c r="A4" s="5" t="s">
        <v>28</v>
      </c>
      <c r="B4" s="7">
        <v>34</v>
      </c>
      <c r="C4" s="7">
        <v>23</v>
      </c>
      <c r="D4" s="7">
        <v>49</v>
      </c>
      <c r="E4" s="7">
        <v>21</v>
      </c>
      <c r="F4" s="7">
        <v>312</v>
      </c>
      <c r="G4" s="7">
        <v>48</v>
      </c>
      <c r="H4" s="7">
        <v>12</v>
      </c>
      <c r="I4" s="7">
        <v>11</v>
      </c>
      <c r="J4" s="7"/>
      <c r="K4" s="7">
        <v>368</v>
      </c>
      <c r="L4" s="7">
        <v>78</v>
      </c>
      <c r="M4" s="7"/>
      <c r="N4" s="7"/>
      <c r="O4" s="7">
        <v>130</v>
      </c>
      <c r="P4" s="7"/>
      <c r="Q4" s="7"/>
      <c r="R4" s="7">
        <v>1</v>
      </c>
      <c r="S4" s="7">
        <v>3</v>
      </c>
      <c r="T4" s="7">
        <v>32</v>
      </c>
      <c r="U4" s="7">
        <v>3</v>
      </c>
      <c r="V4" s="7">
        <v>28</v>
      </c>
      <c r="W4" s="7"/>
      <c r="X4" s="7">
        <v>6</v>
      </c>
      <c r="Y4" s="7">
        <v>41</v>
      </c>
      <c r="Z4" s="8">
        <f>SUM(B4:Y4)</f>
        <v>1200</v>
      </c>
    </row>
    <row r="5" spans="1:26" ht="38.25" x14ac:dyDescent="0.25">
      <c r="A5" s="5" t="s">
        <v>29</v>
      </c>
      <c r="B5" s="7">
        <v>22</v>
      </c>
      <c r="C5" s="7">
        <v>11</v>
      </c>
      <c r="D5" s="7">
        <v>16</v>
      </c>
      <c r="E5" s="7">
        <v>8</v>
      </c>
      <c r="F5" s="7">
        <v>98</v>
      </c>
      <c r="G5" s="7">
        <v>31</v>
      </c>
      <c r="H5" s="7">
        <v>7</v>
      </c>
      <c r="I5" s="7">
        <v>9</v>
      </c>
      <c r="J5" s="7"/>
      <c r="K5" s="7">
        <v>52</v>
      </c>
      <c r="L5" s="7">
        <v>2</v>
      </c>
      <c r="M5" s="7"/>
      <c r="N5" s="7"/>
      <c r="O5" s="7">
        <v>67</v>
      </c>
      <c r="P5" s="7"/>
      <c r="Q5" s="7">
        <v>1</v>
      </c>
      <c r="R5" s="7">
        <v>66</v>
      </c>
      <c r="S5" s="7">
        <v>1</v>
      </c>
      <c r="T5" s="7">
        <v>7</v>
      </c>
      <c r="U5" s="7">
        <v>1</v>
      </c>
      <c r="V5" s="7">
        <v>58</v>
      </c>
      <c r="W5" s="7"/>
      <c r="X5" s="7"/>
      <c r="Y5" s="7">
        <v>20</v>
      </c>
      <c r="Z5" s="8">
        <f t="shared" si="0"/>
        <v>477</v>
      </c>
    </row>
    <row r="6" spans="1:26" ht="51" x14ac:dyDescent="0.25">
      <c r="A6" s="5" t="s">
        <v>30</v>
      </c>
      <c r="B6" s="7">
        <v>18</v>
      </c>
      <c r="C6" s="7">
        <v>8</v>
      </c>
      <c r="D6" s="7">
        <v>47</v>
      </c>
      <c r="E6" s="7">
        <v>12</v>
      </c>
      <c r="F6" s="7">
        <v>162</v>
      </c>
      <c r="G6" s="7">
        <v>4</v>
      </c>
      <c r="H6" s="7">
        <v>2</v>
      </c>
      <c r="I6" s="7">
        <v>4</v>
      </c>
      <c r="J6" s="7"/>
      <c r="K6" s="7">
        <v>935</v>
      </c>
      <c r="L6" s="7">
        <v>2</v>
      </c>
      <c r="M6" s="7"/>
      <c r="N6" s="7"/>
      <c r="O6" s="7">
        <v>242</v>
      </c>
      <c r="P6" s="7"/>
      <c r="Q6" s="7">
        <v>1</v>
      </c>
      <c r="R6" s="7">
        <v>1</v>
      </c>
      <c r="S6" s="7">
        <v>1</v>
      </c>
      <c r="T6" s="7">
        <v>1</v>
      </c>
      <c r="U6" s="7"/>
      <c r="V6" s="7">
        <v>8</v>
      </c>
      <c r="W6" s="7"/>
      <c r="X6" s="7">
        <v>2</v>
      </c>
      <c r="Y6" s="7">
        <v>18</v>
      </c>
      <c r="Z6" s="8">
        <f t="shared" si="0"/>
        <v>1468</v>
      </c>
    </row>
    <row r="7" spans="1:26" ht="38.25" x14ac:dyDescent="0.25">
      <c r="A7" s="5" t="s">
        <v>44</v>
      </c>
      <c r="B7" s="7">
        <v>224</v>
      </c>
      <c r="C7" s="7">
        <v>83</v>
      </c>
      <c r="D7" s="7">
        <v>134</v>
      </c>
      <c r="E7" s="7">
        <v>82</v>
      </c>
      <c r="F7" s="7">
        <v>300</v>
      </c>
      <c r="G7" s="7">
        <v>33</v>
      </c>
      <c r="H7" s="7">
        <v>20</v>
      </c>
      <c r="I7" s="7">
        <v>36</v>
      </c>
      <c r="J7" s="7">
        <v>14</v>
      </c>
      <c r="K7" s="7">
        <v>156</v>
      </c>
      <c r="L7" s="7">
        <v>287</v>
      </c>
      <c r="M7" s="7"/>
      <c r="N7" s="7"/>
      <c r="O7" s="7">
        <v>260</v>
      </c>
      <c r="P7" s="7">
        <v>2</v>
      </c>
      <c r="Q7" s="7">
        <v>40</v>
      </c>
      <c r="R7" s="7">
        <v>10</v>
      </c>
      <c r="S7" s="7">
        <v>28</v>
      </c>
      <c r="T7" s="7">
        <v>19</v>
      </c>
      <c r="U7" s="7">
        <v>28</v>
      </c>
      <c r="V7" s="7">
        <v>46</v>
      </c>
      <c r="W7" s="7">
        <v>26</v>
      </c>
      <c r="X7" s="7">
        <v>80</v>
      </c>
      <c r="Y7" s="7">
        <v>42</v>
      </c>
      <c r="Z7" s="8">
        <f t="shared" si="0"/>
        <v>1950</v>
      </c>
    </row>
    <row r="8" spans="1:26" ht="25.5" x14ac:dyDescent="0.25">
      <c r="A8" s="5" t="s">
        <v>31</v>
      </c>
      <c r="B8" s="7">
        <v>10</v>
      </c>
      <c r="C8" s="7">
        <v>12</v>
      </c>
      <c r="D8" s="7">
        <v>16</v>
      </c>
      <c r="E8" s="7">
        <v>2</v>
      </c>
      <c r="F8" s="7">
        <v>148</v>
      </c>
      <c r="G8" s="7">
        <v>13</v>
      </c>
      <c r="H8" s="7">
        <v>8</v>
      </c>
      <c r="I8" s="7">
        <v>4</v>
      </c>
      <c r="J8" s="7"/>
      <c r="K8" s="7">
        <v>28</v>
      </c>
      <c r="L8" s="7">
        <v>3</v>
      </c>
      <c r="M8" s="7"/>
      <c r="N8" s="7"/>
      <c r="O8" s="7">
        <v>147</v>
      </c>
      <c r="P8" s="7"/>
      <c r="Q8" s="7">
        <v>4</v>
      </c>
      <c r="R8" s="7">
        <v>1</v>
      </c>
      <c r="S8" s="7">
        <v>2</v>
      </c>
      <c r="T8" s="7">
        <v>7</v>
      </c>
      <c r="U8" s="7"/>
      <c r="V8" s="7">
        <v>20</v>
      </c>
      <c r="W8" s="7"/>
      <c r="X8" s="7"/>
      <c r="Y8" s="7">
        <v>12</v>
      </c>
      <c r="Z8" s="8">
        <f t="shared" si="0"/>
        <v>437</v>
      </c>
    </row>
    <row r="9" spans="1:26" ht="25.5" x14ac:dyDescent="0.25">
      <c r="A9" s="5" t="s">
        <v>32</v>
      </c>
      <c r="B9" s="7">
        <v>32</v>
      </c>
      <c r="C9" s="7">
        <v>26</v>
      </c>
      <c r="D9" s="7">
        <v>18</v>
      </c>
      <c r="E9" s="7">
        <v>7</v>
      </c>
      <c r="F9" s="7">
        <v>248</v>
      </c>
      <c r="G9" s="7">
        <v>51</v>
      </c>
      <c r="H9" s="7">
        <v>4</v>
      </c>
      <c r="I9" s="7">
        <v>11</v>
      </c>
      <c r="J9" s="7">
        <v>4</v>
      </c>
      <c r="K9" s="7">
        <v>83</v>
      </c>
      <c r="L9" s="7">
        <v>6</v>
      </c>
      <c r="M9" s="7"/>
      <c r="N9" s="7"/>
      <c r="O9" s="7">
        <v>82</v>
      </c>
      <c r="P9" s="7"/>
      <c r="Q9" s="7">
        <v>1</v>
      </c>
      <c r="R9" s="7"/>
      <c r="S9" s="7">
        <v>2</v>
      </c>
      <c r="T9" s="7">
        <v>9</v>
      </c>
      <c r="U9" s="7">
        <v>1</v>
      </c>
      <c r="V9" s="7">
        <v>18</v>
      </c>
      <c r="W9" s="7"/>
      <c r="X9" s="7">
        <v>7</v>
      </c>
      <c r="Y9" s="7">
        <v>70</v>
      </c>
      <c r="Z9" s="8">
        <f t="shared" si="0"/>
        <v>680</v>
      </c>
    </row>
    <row r="10" spans="1:26" ht="25.5" x14ac:dyDescent="0.25">
      <c r="A10" s="5" t="s">
        <v>33</v>
      </c>
      <c r="B10" s="7">
        <v>2</v>
      </c>
      <c r="C10" s="7">
        <v>12</v>
      </c>
      <c r="D10" s="7">
        <v>10</v>
      </c>
      <c r="E10" s="7">
        <v>3</v>
      </c>
      <c r="F10" s="7">
        <v>154</v>
      </c>
      <c r="G10" s="7"/>
      <c r="H10" s="7">
        <v>10</v>
      </c>
      <c r="I10" s="7">
        <v>9</v>
      </c>
      <c r="J10" s="7"/>
      <c r="K10" s="7">
        <v>52</v>
      </c>
      <c r="L10" s="7">
        <v>9</v>
      </c>
      <c r="M10" s="7"/>
      <c r="N10" s="7"/>
      <c r="O10" s="7">
        <v>68</v>
      </c>
      <c r="P10" s="7"/>
      <c r="Q10" s="7">
        <v>1</v>
      </c>
      <c r="R10" s="7"/>
      <c r="S10" s="7"/>
      <c r="T10" s="7"/>
      <c r="U10" s="7">
        <v>1</v>
      </c>
      <c r="V10" s="7">
        <v>19</v>
      </c>
      <c r="W10" s="7"/>
      <c r="X10" s="7"/>
      <c r="Y10" s="7">
        <v>7</v>
      </c>
      <c r="Z10" s="8">
        <f t="shared" si="0"/>
        <v>357</v>
      </c>
    </row>
    <row r="11" spans="1:26" ht="38.25" x14ac:dyDescent="0.25">
      <c r="A11" s="5" t="s">
        <v>34</v>
      </c>
      <c r="B11" s="7">
        <v>9</v>
      </c>
      <c r="C11" s="7">
        <v>17</v>
      </c>
      <c r="D11" s="7">
        <v>181</v>
      </c>
      <c r="E11" s="7">
        <v>10</v>
      </c>
      <c r="F11" s="7">
        <v>94</v>
      </c>
      <c r="G11" s="7">
        <v>7</v>
      </c>
      <c r="H11" s="7">
        <v>17</v>
      </c>
      <c r="I11" s="7">
        <v>6</v>
      </c>
      <c r="J11" s="7"/>
      <c r="K11" s="7">
        <v>66</v>
      </c>
      <c r="L11" s="7">
        <v>13</v>
      </c>
      <c r="M11" s="7"/>
      <c r="N11" s="7"/>
      <c r="O11" s="7">
        <v>33</v>
      </c>
      <c r="P11" s="7"/>
      <c r="Q11" s="7"/>
      <c r="R11" s="7">
        <v>2</v>
      </c>
      <c r="S11" s="7">
        <v>1</v>
      </c>
      <c r="T11" s="7">
        <v>10</v>
      </c>
      <c r="U11" s="7">
        <v>1</v>
      </c>
      <c r="V11" s="7">
        <v>22</v>
      </c>
      <c r="W11" s="7"/>
      <c r="X11" s="7">
        <v>2</v>
      </c>
      <c r="Y11" s="7">
        <v>4</v>
      </c>
      <c r="Z11" s="8">
        <f t="shared" si="0"/>
        <v>495</v>
      </c>
    </row>
    <row r="12" spans="1:26" ht="25.5" x14ac:dyDescent="0.25">
      <c r="A12" s="5" t="s">
        <v>35</v>
      </c>
      <c r="B12" s="7">
        <v>227</v>
      </c>
      <c r="C12" s="7">
        <v>51</v>
      </c>
      <c r="D12" s="7">
        <v>44</v>
      </c>
      <c r="E12" s="7">
        <v>6</v>
      </c>
      <c r="F12" s="7">
        <v>1037</v>
      </c>
      <c r="G12" s="7">
        <v>52</v>
      </c>
      <c r="H12" s="7">
        <v>55</v>
      </c>
      <c r="I12" s="7">
        <v>22</v>
      </c>
      <c r="J12" s="7">
        <v>1</v>
      </c>
      <c r="K12" s="7">
        <v>229</v>
      </c>
      <c r="L12" s="7">
        <v>108</v>
      </c>
      <c r="M12" s="7"/>
      <c r="N12" s="7"/>
      <c r="O12" s="7">
        <v>247</v>
      </c>
      <c r="P12" s="7"/>
      <c r="Q12" s="7">
        <v>12</v>
      </c>
      <c r="R12" s="7">
        <v>2</v>
      </c>
      <c r="S12" s="7">
        <v>1</v>
      </c>
      <c r="T12" s="7">
        <v>50</v>
      </c>
      <c r="U12" s="7">
        <v>9</v>
      </c>
      <c r="V12" s="7">
        <v>48</v>
      </c>
      <c r="W12" s="7">
        <v>1</v>
      </c>
      <c r="X12" s="7">
        <v>26</v>
      </c>
      <c r="Y12" s="7">
        <v>41</v>
      </c>
      <c r="Z12" s="8">
        <f t="shared" si="0"/>
        <v>2269</v>
      </c>
    </row>
    <row r="13" spans="1:26" ht="38.25" x14ac:dyDescent="0.25">
      <c r="A13" s="5" t="s">
        <v>36</v>
      </c>
      <c r="B13" s="7">
        <v>9</v>
      </c>
      <c r="C13" s="7">
        <v>16</v>
      </c>
      <c r="D13" s="7">
        <v>23</v>
      </c>
      <c r="E13" s="7">
        <v>1</v>
      </c>
      <c r="F13" s="7">
        <v>159</v>
      </c>
      <c r="G13" s="7">
        <v>21</v>
      </c>
      <c r="H13" s="7">
        <v>4</v>
      </c>
      <c r="I13" s="7">
        <v>4</v>
      </c>
      <c r="J13" s="7"/>
      <c r="K13" s="7">
        <v>65</v>
      </c>
      <c r="L13" s="7"/>
      <c r="M13" s="7"/>
      <c r="N13" s="7"/>
      <c r="O13" s="7">
        <v>29</v>
      </c>
      <c r="P13" s="7"/>
      <c r="Q13" s="7">
        <v>1</v>
      </c>
      <c r="R13" s="7">
        <v>3</v>
      </c>
      <c r="S13" s="7">
        <v>1</v>
      </c>
      <c r="T13" s="7">
        <v>3</v>
      </c>
      <c r="U13" s="7"/>
      <c r="V13" s="7">
        <v>12</v>
      </c>
      <c r="W13" s="7"/>
      <c r="X13" s="7">
        <v>2</v>
      </c>
      <c r="Y13" s="7">
        <v>10</v>
      </c>
      <c r="Z13" s="8">
        <f t="shared" si="0"/>
        <v>363</v>
      </c>
    </row>
    <row r="14" spans="1:26" ht="63.75" x14ac:dyDescent="0.25">
      <c r="A14" s="9" t="s">
        <v>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8">
        <f t="shared" si="0"/>
        <v>15</v>
      </c>
    </row>
    <row r="15" spans="1:26" ht="38.25" x14ac:dyDescent="0.25">
      <c r="A15" s="10" t="s">
        <v>38</v>
      </c>
      <c r="B15" s="11">
        <v>25</v>
      </c>
      <c r="C15" s="11">
        <v>26</v>
      </c>
      <c r="D15" s="11">
        <v>32</v>
      </c>
      <c r="E15" s="11">
        <v>3</v>
      </c>
      <c r="F15" s="11">
        <v>408</v>
      </c>
      <c r="G15" s="11">
        <v>52</v>
      </c>
      <c r="H15" s="11">
        <v>14</v>
      </c>
      <c r="I15" s="11">
        <v>10</v>
      </c>
      <c r="J15" s="11">
        <v>1</v>
      </c>
      <c r="K15" s="11">
        <v>871</v>
      </c>
      <c r="L15" s="11">
        <v>348</v>
      </c>
      <c r="M15" s="11"/>
      <c r="N15" s="6"/>
      <c r="O15" s="11">
        <v>260</v>
      </c>
      <c r="P15" s="11">
        <v>1</v>
      </c>
      <c r="Q15" s="11">
        <v>75</v>
      </c>
      <c r="R15" s="11">
        <v>6</v>
      </c>
      <c r="S15" s="11">
        <v>3</v>
      </c>
      <c r="T15" s="11">
        <v>5</v>
      </c>
      <c r="U15" s="11">
        <v>4</v>
      </c>
      <c r="V15" s="11">
        <v>40</v>
      </c>
      <c r="W15" s="11">
        <v>1</v>
      </c>
      <c r="X15" s="11">
        <v>4</v>
      </c>
      <c r="Y15" s="11">
        <v>18</v>
      </c>
      <c r="Z15" s="8">
        <f>SUM(B15:Y15)</f>
        <v>2207</v>
      </c>
    </row>
    <row r="16" spans="1:26" ht="25.5" x14ac:dyDescent="0.25">
      <c r="A16" s="12" t="s">
        <v>39</v>
      </c>
      <c r="B16" s="7">
        <v>4</v>
      </c>
      <c r="C16" s="7"/>
      <c r="D16" s="7">
        <v>4</v>
      </c>
      <c r="E16" s="7">
        <v>4</v>
      </c>
      <c r="F16" s="7">
        <v>4</v>
      </c>
      <c r="G16" s="7">
        <v>4</v>
      </c>
      <c r="H16" s="7">
        <v>4</v>
      </c>
      <c r="I16" s="7">
        <v>4</v>
      </c>
      <c r="J16" s="7">
        <v>4</v>
      </c>
      <c r="K16" s="7">
        <v>4</v>
      </c>
      <c r="L16" s="7"/>
      <c r="M16" s="7"/>
      <c r="N16" s="7"/>
      <c r="O16" s="7">
        <v>4</v>
      </c>
      <c r="P16" s="7">
        <v>4</v>
      </c>
      <c r="Q16" s="7">
        <v>4</v>
      </c>
      <c r="R16" s="7">
        <v>4</v>
      </c>
      <c r="S16" s="7">
        <v>4</v>
      </c>
      <c r="T16" s="7">
        <v>4</v>
      </c>
      <c r="U16" s="7">
        <v>4</v>
      </c>
      <c r="V16" s="7">
        <v>4</v>
      </c>
      <c r="W16" s="7">
        <v>4</v>
      </c>
      <c r="X16" s="7">
        <v>4</v>
      </c>
      <c r="Y16" s="7">
        <v>4</v>
      </c>
      <c r="Z16" s="8">
        <f t="shared" si="0"/>
        <v>80</v>
      </c>
    </row>
    <row r="17" spans="1:26" ht="38.25" x14ac:dyDescent="0.25">
      <c r="A17" s="12" t="s">
        <v>40</v>
      </c>
      <c r="B17" s="7"/>
      <c r="C17" s="7">
        <v>6</v>
      </c>
      <c r="D17" s="7"/>
      <c r="E17" s="7">
        <v>4</v>
      </c>
      <c r="F17" s="7"/>
      <c r="G17" s="7"/>
      <c r="H17" s="7">
        <v>4</v>
      </c>
      <c r="I17" s="7">
        <v>4</v>
      </c>
      <c r="J17" s="7">
        <v>4</v>
      </c>
      <c r="K17" s="7"/>
      <c r="L17" s="7">
        <v>6</v>
      </c>
      <c r="M17" s="7"/>
      <c r="N17" s="7"/>
      <c r="O17" s="7">
        <v>4</v>
      </c>
      <c r="P17" s="7"/>
      <c r="Q17" s="7"/>
      <c r="R17" s="7"/>
      <c r="S17" s="7"/>
      <c r="T17" s="7"/>
      <c r="U17" s="7">
        <v>5</v>
      </c>
      <c r="V17" s="7">
        <v>5</v>
      </c>
      <c r="W17" s="7">
        <v>3</v>
      </c>
      <c r="X17" s="7">
        <v>5</v>
      </c>
      <c r="Y17" s="7">
        <v>5</v>
      </c>
      <c r="Z17" s="8">
        <f t="shared" si="0"/>
        <v>55</v>
      </c>
    </row>
    <row r="18" spans="1:26" ht="38.25" x14ac:dyDescent="0.25">
      <c r="A18" s="12" t="s">
        <v>41</v>
      </c>
      <c r="B18" s="7">
        <v>7</v>
      </c>
      <c r="C18" s="7"/>
      <c r="D18" s="7">
        <v>4</v>
      </c>
      <c r="E18" s="7"/>
      <c r="F18" s="7">
        <v>4</v>
      </c>
      <c r="G18" s="7">
        <v>6</v>
      </c>
      <c r="H18" s="7"/>
      <c r="I18" s="7"/>
      <c r="J18" s="7"/>
      <c r="K18" s="7">
        <v>6</v>
      </c>
      <c r="L18" s="7"/>
      <c r="M18" s="7"/>
      <c r="N18" s="7"/>
      <c r="O18" s="7">
        <v>3</v>
      </c>
      <c r="P18" s="7">
        <v>4</v>
      </c>
      <c r="Q18" s="7">
        <v>4</v>
      </c>
      <c r="R18" s="7">
        <v>5</v>
      </c>
      <c r="S18" s="7">
        <v>6</v>
      </c>
      <c r="T18" s="7">
        <v>4</v>
      </c>
      <c r="U18" s="7">
        <v>5</v>
      </c>
      <c r="V18" s="7"/>
      <c r="W18" s="7">
        <v>3</v>
      </c>
      <c r="X18" s="7">
        <v>4</v>
      </c>
      <c r="Y18" s="7"/>
      <c r="Z18" s="8">
        <f t="shared" si="0"/>
        <v>65</v>
      </c>
    </row>
    <row r="19" spans="1:26" ht="51" x14ac:dyDescent="0.25">
      <c r="A19" s="13" t="s">
        <v>42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1</v>
      </c>
      <c r="R19" s="7">
        <v>1</v>
      </c>
      <c r="S19" s="7"/>
      <c r="T19" s="7"/>
      <c r="U19" s="7"/>
      <c r="V19" s="7"/>
      <c r="W19" s="7">
        <v>1</v>
      </c>
      <c r="X19" s="7"/>
      <c r="Y19" s="7"/>
      <c r="Z19" s="8">
        <f t="shared" si="0"/>
        <v>3</v>
      </c>
    </row>
    <row r="20" spans="1:26" ht="15.75" x14ac:dyDescent="0.25">
      <c r="A20" s="14" t="s">
        <v>43</v>
      </c>
      <c r="B20" s="8">
        <f t="shared" ref="B20:Z20" si="1">SUM(B2:B19)</f>
        <v>672</v>
      </c>
      <c r="C20" s="8">
        <f t="shared" si="1"/>
        <v>332</v>
      </c>
      <c r="D20" s="8">
        <f t="shared" si="1"/>
        <v>659</v>
      </c>
      <c r="E20" s="8">
        <f t="shared" si="1"/>
        <v>175</v>
      </c>
      <c r="F20" s="8">
        <f t="shared" si="1"/>
        <v>4147</v>
      </c>
      <c r="G20" s="8">
        <f t="shared" si="1"/>
        <v>366</v>
      </c>
      <c r="H20" s="8">
        <f t="shared" si="1"/>
        <v>182</v>
      </c>
      <c r="I20" s="8">
        <f t="shared" si="1"/>
        <v>147</v>
      </c>
      <c r="J20" s="8">
        <f t="shared" si="1"/>
        <v>29</v>
      </c>
      <c r="K20" s="8">
        <f t="shared" si="1"/>
        <v>3355</v>
      </c>
      <c r="L20" s="8">
        <f t="shared" si="1"/>
        <v>908</v>
      </c>
      <c r="M20" s="8">
        <f t="shared" si="1"/>
        <v>0</v>
      </c>
      <c r="N20" s="8">
        <f t="shared" si="1"/>
        <v>0</v>
      </c>
      <c r="O20" s="8">
        <f t="shared" si="1"/>
        <v>1879</v>
      </c>
      <c r="P20" s="8">
        <f t="shared" si="1"/>
        <v>11</v>
      </c>
      <c r="Q20" s="8">
        <f t="shared" si="1"/>
        <v>154</v>
      </c>
      <c r="R20" s="8">
        <f t="shared" si="1"/>
        <v>107</v>
      </c>
      <c r="S20" s="8">
        <f t="shared" si="1"/>
        <v>56</v>
      </c>
      <c r="T20" s="8">
        <f t="shared" si="1"/>
        <v>173</v>
      </c>
      <c r="U20" s="8">
        <f t="shared" si="1"/>
        <v>64</v>
      </c>
      <c r="V20" s="8">
        <f t="shared" si="1"/>
        <v>375</v>
      </c>
      <c r="W20" s="8">
        <f t="shared" si="1"/>
        <v>39</v>
      </c>
      <c r="X20" s="8">
        <f t="shared" si="1"/>
        <v>151</v>
      </c>
      <c r="Y20" s="8">
        <f t="shared" si="1"/>
        <v>348</v>
      </c>
      <c r="Z20" s="8">
        <f>SUM(Z2:Z19)</f>
        <v>14329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Костоломова Илюза Илдаровна</dc:creator>
  <cp:lastModifiedBy>Костоломова Илюзя Ильдаровна</cp:lastModifiedBy>
  <dcterms:created xsi:type="dcterms:W3CDTF">2015-06-05T18:19:34Z</dcterms:created>
  <dcterms:modified xsi:type="dcterms:W3CDTF">2026-06-30T09:33:55Z</dcterms:modified>
</cp:coreProperties>
</file>